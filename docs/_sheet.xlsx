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mage Calculator (Phy Atk)" sheetId="1" r:id="rId5"/>
    <sheet state="visible" name="Damage Calculator (Mag Atk)" sheetId="2" r:id="rId6"/>
    <sheet state="visible" name="Change Log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">
      <text>
        <t xml:space="preserve">Max dmg used in calculations in 
cells with blue text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">
      <text>
        <t xml:space="preserve">Max dmg used in calculations in 
cells with blue text</t>
      </text>
    </comment>
  </commentList>
</comments>
</file>

<file path=xl/sharedStrings.xml><?xml version="1.0" encoding="utf-8"?>
<sst xmlns="http://schemas.openxmlformats.org/spreadsheetml/2006/main" count="215" uniqueCount="94">
  <si>
    <t>Buffed stats calculator</t>
  </si>
  <si>
    <t>Phys Atk</t>
  </si>
  <si>
    <t>Advance Blessing</t>
  </si>
  <si>
    <t>Boss Atk food</t>
  </si>
  <si>
    <t>Phys Atk %</t>
  </si>
  <si>
    <t>Phys Dmg %</t>
  </si>
  <si>
    <t>Speed Infusion (Bucc buff)</t>
  </si>
  <si>
    <t>Phys Atk food</t>
  </si>
  <si>
    <t>Boss Atk %</t>
  </si>
  <si>
    <t>Crit Rate %</t>
  </si>
  <si>
    <t>Unmanaged Anger (Hero buff)</t>
  </si>
  <si>
    <t>Candy Basket</t>
  </si>
  <si>
    <t>Crit Dmg %</t>
  </si>
  <si>
    <t>Combat Orders (Pally buff)</t>
  </si>
  <si>
    <t>Chestnut</t>
  </si>
  <si>
    <t>Final Dmg %</t>
  </si>
  <si>
    <t>Call of the Wild (WH buff)</t>
  </si>
  <si>
    <t>Carrot Juice</t>
  </si>
  <si>
    <t>Hyper skill</t>
  </si>
  <si>
    <t>Evan buff</t>
  </si>
  <si>
    <t>Noodle Soup</t>
  </si>
  <si>
    <t>Hyper stat</t>
  </si>
  <si>
    <t>CR % HARD CAP</t>
  </si>
  <si>
    <t>Skill %</t>
  </si>
  <si>
    <t>Lv 200 buff</t>
  </si>
  <si>
    <t>Jellyfish</t>
  </si>
  <si>
    <t>Pork</t>
  </si>
  <si>
    <t>Max Dmg</t>
  </si>
  <si>
    <t>Party buffs. Please pick buffs which correspond and benefit with your class</t>
  </si>
  <si>
    <t>Boss Rush</t>
  </si>
  <si>
    <r>
      <rPr>
        <rFont val="Arial"/>
        <b/>
        <color rgb="FFFF0000"/>
        <sz val="9.0"/>
      </rPr>
      <t>Input base stats here.</t>
    </r>
    <r>
      <rPr>
        <rFont val="Arial"/>
        <color rgb="FFFF0000"/>
        <sz val="9.0"/>
      </rPr>
      <t xml:space="preserve"> Exclude any food buffs &amp; party buffs. Include self buffs.</t>
    </r>
  </si>
  <si>
    <t>Fever (maxed)</t>
  </si>
  <si>
    <t>Buffed stats</t>
  </si>
  <si>
    <t>Food buffs</t>
  </si>
  <si>
    <t>Emblem swap calculator</t>
  </si>
  <si>
    <t>Damage calculator</t>
  </si>
  <si>
    <t>Credits</t>
  </si>
  <si>
    <t>Current emblems</t>
  </si>
  <si>
    <t>With chosen emblems</t>
  </si>
  <si>
    <t>Damage Output</t>
  </si>
  <si>
    <t>Paulpork</t>
  </si>
  <si>
    <t>For Dmg Formula</t>
  </si>
  <si>
    <t>Non-Crit Line (Mobs)</t>
  </si>
  <si>
    <t>櫻櫻美代套子</t>
  </si>
  <si>
    <t>For the initial buffed stats calculator</t>
  </si>
  <si>
    <t>Crit Line (Mobs)</t>
  </si>
  <si>
    <t>KaitouKiddo</t>
  </si>
  <si>
    <t>For the initial dmg + emblem calculator</t>
  </si>
  <si>
    <t>Average Dmg (Mobs)</t>
  </si>
  <si>
    <t>殘風⎝( OωO)⎠</t>
  </si>
  <si>
    <t>For Crit Rate + Cap tests</t>
  </si>
  <si>
    <t>Non-Crit Line (Boss)</t>
  </si>
  <si>
    <t>Whaku</t>
  </si>
  <si>
    <r>
      <rPr/>
      <t xml:space="preserve">For this spreadsheet. </t>
    </r>
    <r>
      <rPr>
        <color rgb="FF1155CC"/>
        <u/>
      </rPr>
      <t>Also similar CR test</t>
    </r>
  </si>
  <si>
    <t>Crit Line (Boss)</t>
  </si>
  <si>
    <t>Average Dmg (Boss)</t>
  </si>
  <si>
    <t>Notes</t>
  </si>
  <si>
    <t>Last Updated: 09/08/20</t>
  </si>
  <si>
    <t>Average Dmg (Boss,Cap)</t>
  </si>
  <si>
    <t>- Crit rate soft caps at 90% for bosses with no crit res</t>
  </si>
  <si>
    <t>^ Dmg dealt on enemies with no defense</t>
  </si>
  <si>
    <t>- CR HARDCAPS at 100%. CAN'T overbuff to compensate</t>
  </si>
  <si>
    <t>With Crit Res %</t>
  </si>
  <si>
    <t>- Phys dmg cap REMOVED AS OF MAY UPDATE</t>
  </si>
  <si>
    <t>- Make sure not to include duplicate self buffs in both the base stat and party buffs or hyper skill.</t>
  </si>
  <si>
    <t>Avg Dmg (Boss) + Crit Res</t>
  </si>
  <si>
    <r>
      <rPr>
        <rFont val="Arial"/>
        <b/>
        <color theme="4"/>
        <sz val="10.0"/>
      </rPr>
      <t>Average Dmg (Boss,</t>
    </r>
    <r>
      <rPr>
        <rFont val="Arial"/>
        <b/>
        <color theme="4"/>
        <sz val="10.0"/>
      </rPr>
      <t>Cap</t>
    </r>
    <r>
      <rPr>
        <rFont val="Arial"/>
        <b/>
        <color theme="4"/>
        <sz val="10.0"/>
      </rPr>
      <t>)</t>
    </r>
  </si>
  <si>
    <r>
      <rPr>
        <rFont val="Arial"/>
        <b/>
        <color theme="4"/>
        <sz val="9.0"/>
      </rPr>
      <t>Avg Dmg (Boss,</t>
    </r>
    <r>
      <rPr>
        <rFont val="Arial"/>
        <b/>
        <color theme="4"/>
        <sz val="9.0"/>
      </rPr>
      <t>Cap</t>
    </r>
    <r>
      <rPr>
        <rFont val="Arial"/>
        <b/>
        <color theme="4"/>
        <sz val="9.0"/>
      </rPr>
      <t>) + Crit Res</t>
    </r>
  </si>
  <si>
    <t>- If you want to change "current emblems", then please change your base stats to reflect it first</t>
  </si>
  <si>
    <t>- No def bosses: GD, WEB and some parts of GHB</t>
  </si>
  <si>
    <t>Hidden cells (required for calculation)</t>
  </si>
  <si>
    <t>Mag Atk</t>
  </si>
  <si>
    <t>Mag Atk %</t>
  </si>
  <si>
    <t>Mag Dmg %</t>
  </si>
  <si>
    <t>Mag Atk food</t>
  </si>
  <si>
    <t>Candy Cane</t>
  </si>
  <si>
    <t>Meditation (IL/FP buff)</t>
  </si>
  <si>
    <t>Photic Meditation (Lumi buff)</t>
  </si>
  <si>
    <t>Snail</t>
  </si>
  <si>
    <r>
      <rPr>
        <rFont val="Arial"/>
        <b/>
        <color rgb="FFFF0000"/>
        <sz val="9.0"/>
      </rPr>
      <t>Input base stats here.</t>
    </r>
    <r>
      <rPr>
        <rFont val="Arial"/>
        <color rgb="FFFF0000"/>
        <sz val="9.0"/>
      </rPr>
      <t xml:space="preserve"> Exclude any food buffs &amp; party buffs. Include self buffs.</t>
    </r>
  </si>
  <si>
    <r>
      <rPr/>
      <t xml:space="preserve">For this spreadsheet. </t>
    </r>
    <r>
      <rPr>
        <color rgb="FF1155CC"/>
        <u/>
      </rPr>
      <t>Also similar CR test</t>
    </r>
  </si>
  <si>
    <r>
      <rPr>
        <rFont val="Arial"/>
        <b/>
        <color theme="4"/>
        <sz val="10.0"/>
      </rPr>
      <t>Average Dmg (Boss,</t>
    </r>
    <r>
      <rPr>
        <rFont val="Arial"/>
        <b/>
        <color theme="4"/>
        <sz val="10.0"/>
      </rPr>
      <t>Cap</t>
    </r>
    <r>
      <rPr>
        <rFont val="Arial"/>
        <b/>
        <color theme="4"/>
        <sz val="10.0"/>
      </rPr>
      <t>)</t>
    </r>
  </si>
  <si>
    <r>
      <rPr>
        <rFont val="Arial"/>
        <b/>
        <color theme="4"/>
        <sz val="9.0"/>
      </rPr>
      <t>Avg Dmg (Boss,</t>
    </r>
    <r>
      <rPr>
        <rFont val="Arial"/>
        <b/>
        <color theme="4"/>
        <sz val="9.0"/>
      </rPr>
      <t>Cap</t>
    </r>
    <r>
      <rPr>
        <rFont val="Arial"/>
        <b/>
        <color theme="4"/>
        <sz val="9.0"/>
      </rPr>
      <t>) + Crit Res</t>
    </r>
  </si>
  <si>
    <t>Date</t>
  </si>
  <si>
    <t>Changes</t>
  </si>
  <si>
    <t>May 26th 2020</t>
  </si>
  <si>
    <t>Damage &amp; Emblem calculator released</t>
  </si>
  <si>
    <t>Fixed issue where adding BA% in hyperstats didn't do anything</t>
  </si>
  <si>
    <t>July 14th 2020</t>
  </si>
  <si>
    <t>Changed the way crit res behaves as crit rate hard caps at 100%</t>
  </si>
  <si>
    <t>August 3rd 2020</t>
  </si>
  <si>
    <t>Added Wild Hunter buff and Lv 200 buff options, removed Pink Bean buffs</t>
  </si>
  <si>
    <t>August 9th 2020</t>
  </si>
  <si>
    <t>Fixed a minor issue with crit res calculation where abnormal 0% crit rate was applying at times. Added damage cap calculations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</si>
</sst>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3">
    <font>
      <sz val="10.0"/>
      <color rgb="FF000000"/>
      <name val="Arial"/>
      <scheme val="minor"/>
    </font>
    <font>
      <b/>
      <color rgb="FFFF0000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b/>
      <color rgb="FF000000"/>
      <name val="Arial"/>
      <scheme val="minor"/>
    </font>
    <font>
      <b/>
      <sz val="9.0"/>
      <color rgb="FF666666"/>
      <name val="Arial"/>
      <scheme val="minor"/>
    </font>
    <font>
      <b/>
      <color rgb="FF666666"/>
      <name val="Arial"/>
      <scheme val="minor"/>
    </font>
    <font>
      <b/>
      <color theme="4"/>
      <name val="Arial"/>
      <scheme val="minor"/>
    </font>
    <font>
      <sz val="9.0"/>
      <color rgb="FFFF0000"/>
      <name val="Arial"/>
      <scheme val="minor"/>
    </font>
    <font>
      <sz val="10.0"/>
      <color theme="1"/>
      <name val="Arial"/>
    </font>
    <font>
      <u/>
      <color rgb="FF1155CC"/>
    </font>
    <font>
      <b/>
      <sz val="10.0"/>
      <color theme="1"/>
      <name val="Arial"/>
    </font>
    <font>
      <sz val="10.0"/>
      <color rgb="FF000000"/>
      <name val="Arial"/>
    </font>
    <font>
      <u/>
      <color rgb="FF1155CC"/>
    </font>
    <font>
      <color rgb="FF000000"/>
      <name val="Arial"/>
      <scheme val="minor"/>
    </font>
    <font>
      <u/>
      <color rgb="FF0000FF"/>
    </font>
    <font>
      <sz val="10.0"/>
      <color theme="1"/>
      <name val="Arial"/>
      <scheme val="minor"/>
    </font>
    <font>
      <b/>
      <sz val="10.0"/>
      <color theme="4"/>
      <name val="Arial"/>
    </font>
    <font>
      <b/>
      <sz val="9.0"/>
      <color theme="4"/>
      <name val="Arial"/>
      <scheme val="minor"/>
    </font>
    <font>
      <color rgb="FF000000"/>
      <name val="Arial"/>
    </font>
    <font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1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</border>
    <border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9" xfId="0" applyAlignment="1" applyFont="1" applyNumberFormat="1">
      <alignment readingOrder="0"/>
    </xf>
    <xf borderId="5" fillId="0" fontId="3" numFmtId="0" xfId="0" applyAlignment="1" applyBorder="1" applyFont="1">
      <alignment readingOrder="0"/>
    </xf>
    <xf borderId="6" fillId="2" fontId="3" numFmtId="0" xfId="0" applyBorder="1" applyFill="1" applyFont="1"/>
    <xf borderId="0" fillId="0" fontId="4" numFmtId="164" xfId="0" applyAlignment="1" applyFont="1" applyNumberFormat="1">
      <alignment readingOrder="0"/>
    </xf>
    <xf borderId="7" fillId="0" fontId="3" numFmtId="0" xfId="0" applyAlignment="1" applyBorder="1" applyFont="1">
      <alignment readingOrder="0"/>
    </xf>
    <xf borderId="8" fillId="2" fontId="3" numFmtId="164" xfId="0" applyBorder="1" applyFont="1" applyNumberFormat="1"/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7" fillId="0" fontId="7" numFmtId="0" xfId="0" applyAlignment="1" applyBorder="1" applyFont="1">
      <alignment readingOrder="0"/>
    </xf>
    <xf borderId="8" fillId="2" fontId="8" numFmtId="164" xfId="0" applyBorder="1" applyFont="1" applyNumberFormat="1"/>
    <xf borderId="0" fillId="0" fontId="9" numFmtId="0" xfId="0" applyAlignment="1" applyFont="1">
      <alignment readingOrder="0"/>
    </xf>
    <xf borderId="0" fillId="0" fontId="0" numFmtId="3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2" fillId="0" fontId="4" numFmtId="0" xfId="0" applyBorder="1" applyFont="1"/>
    <xf borderId="12" fillId="0" fontId="5" numFmtId="0" xfId="0" applyAlignment="1" applyBorder="1" applyFont="1">
      <alignment horizontal="center" readingOrder="0"/>
    </xf>
    <xf borderId="12" fillId="0" fontId="4" numFmtId="0" xfId="0" applyAlignment="1" applyBorder="1" applyFont="1">
      <alignment readingOrder="0" shrinkToFit="0" wrapText="1"/>
    </xf>
    <xf borderId="13" fillId="0" fontId="4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2" fillId="0" fontId="4" numFmtId="0" xfId="0" applyAlignment="1" applyBorder="1" applyFont="1">
      <alignment readingOrder="0" shrinkToFit="0" wrapText="1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8" fillId="0" fontId="4" numFmtId="0" xfId="0" applyBorder="1" applyFont="1"/>
    <xf borderId="4" fillId="0" fontId="11" numFmtId="0" xfId="0" applyBorder="1" applyFont="1"/>
    <xf borderId="8" fillId="0" fontId="2" numFmtId="0" xfId="0" applyBorder="1" applyFont="1"/>
    <xf borderId="4" fillId="0" fontId="4" numFmtId="0" xfId="0" applyAlignment="1" applyBorder="1" applyFont="1">
      <alignment readingOrder="0"/>
    </xf>
    <xf borderId="0" fillId="0" fontId="12" numFmtId="0" xfId="0" applyAlignment="1" applyFont="1">
      <alignment readingOrder="0" shrinkToFit="0" wrapText="1"/>
    </xf>
    <xf borderId="0" fillId="0" fontId="4" numFmtId="9" xfId="0" applyAlignment="1" applyFont="1" applyNumberFormat="1">
      <alignment horizontal="left" readingOrder="0"/>
    </xf>
    <xf borderId="8" fillId="0" fontId="4" numFmtId="9" xfId="0" applyAlignment="1" applyBorder="1" applyFont="1" applyNumberFormat="1">
      <alignment horizontal="left" readingOrder="0"/>
    </xf>
    <xf borderId="4" fillId="0" fontId="13" numFmtId="0" xfId="0" applyAlignment="1" applyBorder="1" applyFont="1">
      <alignment readingOrder="0"/>
    </xf>
    <xf borderId="0" fillId="0" fontId="14" numFmtId="3" xfId="0" applyAlignment="1" applyFont="1" applyNumberFormat="1">
      <alignment horizontal="left"/>
    </xf>
    <xf borderId="0" fillId="0" fontId="15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11" fillId="0" fontId="16" numFmtId="0" xfId="0" applyAlignment="1" applyBorder="1" applyFont="1">
      <alignment readingOrder="0" shrinkToFit="0" wrapText="1"/>
    </xf>
    <xf borderId="12" fillId="0" fontId="17" numFmtId="0" xfId="0" applyAlignment="1" applyBorder="1" applyFont="1">
      <alignment readingOrder="0"/>
    </xf>
    <xf borderId="13" fillId="0" fontId="4" numFmtId="0" xfId="0" applyBorder="1" applyFont="1"/>
    <xf borderId="4" fillId="0" fontId="13" numFmtId="0" xfId="0" applyAlignment="1" applyBorder="1" applyFont="1">
      <alignment horizontal="right" readingOrder="0"/>
    </xf>
    <xf borderId="0" fillId="0" fontId="4" numFmtId="3" xfId="0" applyAlignment="1" applyFont="1" applyNumberFormat="1">
      <alignment horizontal="left"/>
    </xf>
    <xf borderId="0" fillId="3" fontId="14" numFmtId="3" xfId="0" applyAlignment="1" applyFill="1" applyFont="1" applyNumberFormat="1">
      <alignment horizontal="left"/>
    </xf>
    <xf borderId="3" fillId="0" fontId="1" numFmtId="0" xfId="0" applyAlignment="1" applyBorder="1" applyFont="1">
      <alignment readingOrder="0"/>
    </xf>
    <xf borderId="4" fillId="2" fontId="5" numFmtId="0" xfId="0" applyAlignment="1" applyBorder="1" applyFont="1">
      <alignment horizontal="center" readingOrder="0"/>
    </xf>
    <xf borderId="14" fillId="0" fontId="18" numFmtId="0" xfId="0" applyAlignment="1" applyBorder="1" applyFont="1">
      <alignment readingOrder="0"/>
    </xf>
    <xf borderId="0" fillId="4" fontId="4" numFmtId="10" xfId="0" applyAlignment="1" applyFill="1" applyFont="1" applyNumberFormat="1">
      <alignment readingOrder="0"/>
    </xf>
    <xf borderId="0" fillId="0" fontId="4" numFmtId="0" xfId="0" applyFont="1"/>
    <xf borderId="4" fillId="0" fontId="5" numFmtId="0" xfId="0" applyAlignment="1" applyBorder="1" applyFont="1">
      <alignment readingOrder="0" shrinkToFit="0" vertical="center" wrapText="1"/>
    </xf>
    <xf borderId="0" fillId="4" fontId="3" numFmtId="0" xfId="0" applyAlignment="1" applyFont="1">
      <alignment horizontal="right" readingOrder="0"/>
    </xf>
    <xf borderId="0" fillId="4" fontId="4" numFmtId="3" xfId="0" applyAlignment="1" applyFont="1" applyNumberFormat="1">
      <alignment horizontal="left" readingOrder="0"/>
    </xf>
    <xf borderId="0" fillId="4" fontId="4" numFmtId="3" xfId="0" applyAlignment="1" applyFont="1" applyNumberFormat="1">
      <alignment horizontal="left"/>
    </xf>
    <xf borderId="11" fillId="0" fontId="19" numFmtId="0" xfId="0" applyAlignment="1" applyBorder="1" applyFont="1">
      <alignment readingOrder="0"/>
    </xf>
    <xf borderId="12" fillId="0" fontId="4" numFmtId="3" xfId="0" applyAlignment="1" applyBorder="1" applyFont="1" applyNumberFormat="1">
      <alignment horizontal="left"/>
    </xf>
    <xf borderId="13" fillId="0" fontId="2" numFmtId="0" xfId="0" applyBorder="1" applyFont="1"/>
    <xf borderId="4" fillId="0" fontId="2" numFmtId="0" xfId="0" applyBorder="1" applyFont="1"/>
    <xf borderId="12" fillId="4" fontId="20" numFmtId="0" xfId="0" applyAlignment="1" applyBorder="1" applyFont="1">
      <alignment horizontal="right" readingOrder="0"/>
    </xf>
    <xf borderId="12" fillId="4" fontId="4" numFmtId="3" xfId="0" applyAlignment="1" applyBorder="1" applyFont="1" applyNumberFormat="1">
      <alignment horizontal="left" readingOrder="0"/>
    </xf>
    <xf borderId="12" fillId="4" fontId="4" numFmtId="3" xfId="0" applyAlignment="1" applyBorder="1" applyFont="1" applyNumberFormat="1">
      <alignment horizontal="left"/>
    </xf>
    <xf borderId="4" fillId="0" fontId="4" numFmtId="0" xfId="0" applyAlignment="1" applyBorder="1" applyFont="1">
      <alignment readingOrder="0" shrinkToFit="0" vertical="center" wrapText="1"/>
    </xf>
    <xf borderId="11" fillId="0" fontId="4" numFmtId="0" xfId="0" applyAlignment="1" applyBorder="1" applyFont="1">
      <alignment readingOrder="0"/>
    </xf>
    <xf borderId="0" fillId="3" fontId="21" numFmtId="0" xfId="0" applyAlignment="1" applyFont="1">
      <alignment horizontal="left" readingOrder="0"/>
    </xf>
    <xf borderId="0" fillId="0" fontId="22" numFmtId="0" xfId="0" applyAlignment="1" applyFont="1">
      <alignment readingOrder="0" shrinkToFit="0" wrapText="0"/>
    </xf>
    <xf borderId="0" fillId="0" fontId="2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reddit.com/r/MapleStoryM/comments/fwodex/the_real_damage_formula/" TargetMode="External"/><Relationship Id="rId3" Type="http://schemas.openxmlformats.org/officeDocument/2006/relationships/hyperlink" Target="https://docs.google.com/spreadsheets/d/1gt5sGA0jyfKHuxWQVt2Dl2EunmRgLXqeG51dLfVovBo/edit" TargetMode="External"/><Relationship Id="rId4" Type="http://schemas.openxmlformats.org/officeDocument/2006/relationships/hyperlink" Target="https://docs.google.com/spreadsheets/d/1k15mBvN9NmjV_9NNntrh4uNaWRgs7kG4CqVVTES9SC0/edit" TargetMode="External"/><Relationship Id="rId5" Type="http://schemas.openxmlformats.org/officeDocument/2006/relationships/hyperlink" Target="https://forum.gamer.com.tw/C.php?bsn=29461&amp;snA=15185" TargetMode="External"/><Relationship Id="rId6" Type="http://schemas.openxmlformats.org/officeDocument/2006/relationships/hyperlink" Target="https://docs.google.com/spreadsheets/d/1htn8SZVplWJmlCy3nPL-F0fna1FE3DHkn5Va5llENxg/edit?usp=sharing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reddit.com/r/MapleStoryM/comments/fwodex/the_real_damage_formula/" TargetMode="External"/><Relationship Id="rId3" Type="http://schemas.openxmlformats.org/officeDocument/2006/relationships/hyperlink" Target="https://docs.google.com/spreadsheets/d/1gt5sGA0jyfKHuxWQVt2Dl2EunmRgLXqeG51dLfVovBo/edit" TargetMode="External"/><Relationship Id="rId4" Type="http://schemas.openxmlformats.org/officeDocument/2006/relationships/hyperlink" Target="https://docs.google.com/spreadsheets/d/1k15mBvN9NmjV_9NNntrh4uNaWRgs7kG4CqVVTES9SC0/edit" TargetMode="External"/><Relationship Id="rId5" Type="http://schemas.openxmlformats.org/officeDocument/2006/relationships/hyperlink" Target="https://forum.gamer.com.tw/C.php?bsn=29461&amp;snA=15185" TargetMode="External"/><Relationship Id="rId6" Type="http://schemas.openxmlformats.org/officeDocument/2006/relationships/hyperlink" Target="https://docs.google.com/spreadsheets/d/1htn8SZVplWJmlCy3nPL-F0fna1FE3DHkn5Va5llENxg/edit?usp=sharing" TargetMode="External"/><Relationship Id="rId7" Type="http://schemas.openxmlformats.org/officeDocument/2006/relationships/drawing" Target="../drawings/drawing2.xml"/><Relationship Id="rId8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8.88"/>
    <col customWidth="1" min="3" max="3" width="3.25"/>
    <col customWidth="1" min="4" max="4" width="24.75"/>
    <col customWidth="1" min="5" max="5" width="7.0"/>
    <col customWidth="1" min="6" max="6" width="3.25"/>
    <col customWidth="1" min="8" max="8" width="7.0"/>
    <col customWidth="1" min="9" max="9" width="3.25"/>
    <col customWidth="1" min="11" max="11" width="7.0"/>
    <col customWidth="1" min="12" max="12" width="3.25"/>
    <col customWidth="1" min="13" max="13" width="12.63"/>
    <col customWidth="1" min="14" max="14" width="7.0"/>
    <col customWidth="1" min="15" max="15" width="3.25"/>
    <col customWidth="1" min="17" max="17" width="8.88"/>
    <col customWidth="1" min="18" max="18" width="3.25"/>
    <col customWidth="1" min="19" max="19" width="18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4" t="s">
        <v>1</v>
      </c>
      <c r="B2" s="5">
        <v>18456.0</v>
      </c>
      <c r="D2" s="6" t="s">
        <v>2</v>
      </c>
      <c r="E2" s="5">
        <v>1.0</v>
      </c>
      <c r="G2" s="6" t="s">
        <v>3</v>
      </c>
      <c r="H2" s="7">
        <v>0.5</v>
      </c>
      <c r="J2" s="6" t="s">
        <v>4</v>
      </c>
      <c r="K2" s="7">
        <v>0.0</v>
      </c>
      <c r="M2" s="6" t="s">
        <v>5</v>
      </c>
      <c r="N2" s="7">
        <v>0.0</v>
      </c>
      <c r="P2" s="8" t="s">
        <v>1</v>
      </c>
      <c r="Q2" s="9">
        <f>B2</f>
        <v>18456</v>
      </c>
    </row>
    <row r="3">
      <c r="A3" s="4" t="s">
        <v>4</v>
      </c>
      <c r="B3" s="10">
        <v>1.005</v>
      </c>
      <c r="D3" s="6" t="s">
        <v>6</v>
      </c>
      <c r="E3" s="5">
        <v>1.0</v>
      </c>
      <c r="G3" s="6" t="s">
        <v>7</v>
      </c>
      <c r="H3" s="7">
        <v>0.5</v>
      </c>
      <c r="J3" s="6" t="s">
        <v>8</v>
      </c>
      <c r="K3" s="7">
        <v>0.2</v>
      </c>
      <c r="M3" s="6" t="s">
        <v>9</v>
      </c>
      <c r="N3" s="7">
        <v>0.0</v>
      </c>
      <c r="P3" s="11" t="s">
        <v>4</v>
      </c>
      <c r="Q3" s="12">
        <f>B3+H3+35%*E2+14.7%*E6+21%*E4+10%*H11+K2</f>
        <v>2.312</v>
      </c>
    </row>
    <row r="4">
      <c r="A4" s="4" t="s">
        <v>5</v>
      </c>
      <c r="B4" s="10">
        <v>0.372</v>
      </c>
      <c r="D4" s="6" t="s">
        <v>10</v>
      </c>
      <c r="E4" s="5">
        <v>1.0</v>
      </c>
      <c r="G4" s="6" t="s">
        <v>11</v>
      </c>
      <c r="H4" s="5">
        <v>1.0</v>
      </c>
      <c r="J4" s="6" t="s">
        <v>12</v>
      </c>
      <c r="K4" s="7">
        <v>0.2</v>
      </c>
      <c r="M4" s="6" t="s">
        <v>8</v>
      </c>
      <c r="N4" s="7">
        <v>0.0</v>
      </c>
      <c r="P4" s="11" t="s">
        <v>5</v>
      </c>
      <c r="Q4" s="12">
        <f>B4+30%*H4+20%*H9+15%*E5+15%*E7+N2</f>
        <v>1.172</v>
      </c>
    </row>
    <row r="5">
      <c r="A5" s="4" t="s">
        <v>8</v>
      </c>
      <c r="B5" s="10">
        <v>0.927</v>
      </c>
      <c r="D5" s="6" t="s">
        <v>13</v>
      </c>
      <c r="E5" s="5">
        <v>1.0</v>
      </c>
      <c r="G5" s="6" t="s">
        <v>14</v>
      </c>
      <c r="H5" s="5">
        <v>1.0</v>
      </c>
      <c r="J5" s="6" t="s">
        <v>15</v>
      </c>
      <c r="K5" s="7">
        <v>0.2</v>
      </c>
      <c r="M5" s="6" t="s">
        <v>12</v>
      </c>
      <c r="N5" s="7">
        <v>0.0</v>
      </c>
      <c r="P5" s="11" t="s">
        <v>8</v>
      </c>
      <c r="Q5" s="12">
        <f>B5+H2+20%*H8+50%*H10+15%*E2+9.6%*E3+K3+N4</f>
        <v>2.573</v>
      </c>
    </row>
    <row r="6">
      <c r="A6" s="4" t="s">
        <v>9</v>
      </c>
      <c r="B6" s="10">
        <v>0.45</v>
      </c>
      <c r="D6" s="6" t="s">
        <v>16</v>
      </c>
      <c r="E6" s="5">
        <v>1.0</v>
      </c>
      <c r="G6" s="6" t="s">
        <v>17</v>
      </c>
      <c r="H6" s="5">
        <v>1.0</v>
      </c>
      <c r="J6" s="13" t="s">
        <v>18</v>
      </c>
      <c r="M6" s="6" t="s">
        <v>15</v>
      </c>
      <c r="N6" s="7">
        <v>0.15</v>
      </c>
      <c r="P6" s="11" t="s">
        <v>9</v>
      </c>
      <c r="Q6" s="12">
        <f>IF(B6+30%*H6+20%*H7+10%*H11+N3&lt;=90%,B6+30%*H6+20%*H7+10%*H11+N3,90%)</f>
        <v>0.9</v>
      </c>
    </row>
    <row r="7">
      <c r="A7" s="4" t="s">
        <v>12</v>
      </c>
      <c r="B7" s="10">
        <v>2.832</v>
      </c>
      <c r="D7" s="14" t="s">
        <v>19</v>
      </c>
      <c r="E7" s="5">
        <v>1.0</v>
      </c>
      <c r="G7" s="6" t="s">
        <v>20</v>
      </c>
      <c r="H7" s="5">
        <v>1.0</v>
      </c>
      <c r="J7" s="13"/>
      <c r="K7" s="13"/>
      <c r="M7" s="13" t="s">
        <v>21</v>
      </c>
      <c r="P7" s="15" t="s">
        <v>22</v>
      </c>
      <c r="Q7" s="16">
        <f>IF(B6+30%*H6+20%*H7+10%*H11+N3&lt;=100%,B6+30%*H6+20%*H7+10%*H11+N3,100%)</f>
        <v>1</v>
      </c>
    </row>
    <row r="8">
      <c r="A8" s="4" t="s">
        <v>23</v>
      </c>
      <c r="B8" s="10">
        <v>2.266</v>
      </c>
      <c r="D8" s="6" t="s">
        <v>24</v>
      </c>
      <c r="E8" s="5">
        <v>0.0</v>
      </c>
      <c r="G8" s="6" t="s">
        <v>25</v>
      </c>
      <c r="H8" s="5">
        <v>1.0</v>
      </c>
      <c r="P8" s="11" t="s">
        <v>12</v>
      </c>
      <c r="Q8" s="12">
        <f>B7+30%*H5+30%*E8+20%*H11+K4+N5</f>
        <v>3.532</v>
      </c>
    </row>
    <row r="9">
      <c r="A9" s="4" t="s">
        <v>15</v>
      </c>
      <c r="B9" s="10">
        <v>0.15</v>
      </c>
      <c r="G9" s="6" t="s">
        <v>26</v>
      </c>
      <c r="H9" s="5">
        <v>1.0</v>
      </c>
      <c r="P9" s="11" t="s">
        <v>23</v>
      </c>
      <c r="Q9" s="12">
        <f>B8</f>
        <v>2.266</v>
      </c>
    </row>
    <row r="10">
      <c r="A10" s="17" t="s">
        <v>27</v>
      </c>
      <c r="B10" s="18">
        <v>5149999.0</v>
      </c>
      <c r="D10" s="19" t="s">
        <v>28</v>
      </c>
      <c r="G10" s="6" t="s">
        <v>29</v>
      </c>
      <c r="H10" s="5">
        <v>1.0</v>
      </c>
      <c r="P10" s="11" t="s">
        <v>15</v>
      </c>
      <c r="Q10" s="12">
        <f>B9+K5+N6</f>
        <v>0.5</v>
      </c>
    </row>
    <row r="11">
      <c r="A11" s="20" t="s">
        <v>30</v>
      </c>
      <c r="G11" s="6" t="s">
        <v>31</v>
      </c>
      <c r="H11" s="5">
        <v>1.0</v>
      </c>
      <c r="P11" s="21" t="s">
        <v>32</v>
      </c>
      <c r="Q11" s="22"/>
    </row>
    <row r="12">
      <c r="A12" s="23"/>
      <c r="B12" s="24"/>
      <c r="C12" s="25"/>
      <c r="D12" s="25"/>
      <c r="E12" s="25"/>
      <c r="F12" s="25"/>
      <c r="G12" s="26" t="s">
        <v>33</v>
      </c>
      <c r="H12" s="24"/>
      <c r="I12" s="25"/>
      <c r="J12" s="25"/>
      <c r="K12" s="25"/>
      <c r="L12" s="25"/>
      <c r="M12" s="25"/>
      <c r="N12" s="25"/>
      <c r="O12" s="25"/>
      <c r="P12" s="27"/>
      <c r="Q12" s="28"/>
    </row>
    <row r="14">
      <c r="A14" s="1" t="s">
        <v>34</v>
      </c>
      <c r="B14" s="2"/>
      <c r="C14" s="2"/>
      <c r="D14" s="2"/>
      <c r="E14" s="2"/>
      <c r="F14" s="2"/>
      <c r="G14" s="3"/>
      <c r="J14" s="1" t="s">
        <v>35</v>
      </c>
      <c r="K14" s="2"/>
      <c r="L14" s="2"/>
      <c r="M14" s="3"/>
      <c r="N14" s="5"/>
      <c r="O14" s="5"/>
      <c r="P14" s="29" t="s">
        <v>36</v>
      </c>
      <c r="Q14" s="30"/>
      <c r="R14" s="31"/>
      <c r="S14" s="32"/>
    </row>
    <row r="15">
      <c r="A15" s="33"/>
      <c r="B15" s="14" t="s">
        <v>37</v>
      </c>
      <c r="D15" s="13"/>
      <c r="E15" s="6" t="s">
        <v>38</v>
      </c>
      <c r="G15" s="34"/>
      <c r="J15" s="35"/>
      <c r="L15" s="6" t="s">
        <v>39</v>
      </c>
      <c r="M15" s="36"/>
      <c r="N15" s="5"/>
      <c r="O15" s="5"/>
      <c r="P15" s="37" t="s">
        <v>40</v>
      </c>
      <c r="Q15" s="38" t="s">
        <v>41</v>
      </c>
      <c r="S15" s="36"/>
    </row>
    <row r="16" ht="15.75" customHeight="1">
      <c r="A16" s="33"/>
      <c r="B16" s="6" t="s">
        <v>12</v>
      </c>
      <c r="D16" s="39">
        <v>0.6</v>
      </c>
      <c r="E16" s="6" t="s">
        <v>12</v>
      </c>
      <c r="G16" s="40">
        <v>0.8</v>
      </c>
      <c r="J16" s="41" t="s">
        <v>42</v>
      </c>
      <c r="L16" s="42">
        <f>Q2*(1+Q4)*(1+Q3)*Q9*(1+Q10)</f>
        <v>451272.5272</v>
      </c>
      <c r="M16" s="36"/>
      <c r="P16" s="37" t="s">
        <v>43</v>
      </c>
      <c r="Q16" s="43" t="s">
        <v>44</v>
      </c>
      <c r="S16" s="34"/>
    </row>
    <row r="17" ht="15.75" customHeight="1">
      <c r="A17" s="33"/>
      <c r="B17" s="6" t="s">
        <v>8</v>
      </c>
      <c r="D17" s="39">
        <v>0.28</v>
      </c>
      <c r="E17" s="6" t="s">
        <v>8</v>
      </c>
      <c r="G17" s="40">
        <v>0.4</v>
      </c>
      <c r="J17" s="41" t="s">
        <v>45</v>
      </c>
      <c r="L17" s="42">
        <f>L16*(1+20%+Q8)</f>
        <v>2135421.599</v>
      </c>
      <c r="M17" s="36"/>
      <c r="P17" s="37" t="s">
        <v>46</v>
      </c>
      <c r="Q17" s="43" t="s">
        <v>47</v>
      </c>
      <c r="S17" s="34"/>
    </row>
    <row r="18" ht="15.75" customHeight="1">
      <c r="A18" s="33"/>
      <c r="B18" s="6" t="s">
        <v>4</v>
      </c>
      <c r="D18" s="39">
        <v>0.07</v>
      </c>
      <c r="E18" s="6" t="s">
        <v>4</v>
      </c>
      <c r="G18" s="40">
        <v>0.0</v>
      </c>
      <c r="J18" s="41" t="s">
        <v>48</v>
      </c>
      <c r="L18" s="42">
        <f>L16*(1-Q6)+L17*Q6</f>
        <v>1967006.692</v>
      </c>
      <c r="M18" s="36"/>
      <c r="N18" s="44"/>
      <c r="O18" s="44"/>
      <c r="P18" s="37" t="s">
        <v>49</v>
      </c>
      <c r="Q18" s="43" t="s">
        <v>50</v>
      </c>
      <c r="S18" s="34"/>
    </row>
    <row r="19" ht="15.75" customHeight="1">
      <c r="A19" s="33"/>
      <c r="G19" s="34"/>
      <c r="J19" s="41" t="s">
        <v>51</v>
      </c>
      <c r="L19" s="42">
        <f>Q2*(1+Q4)*(1+Q3+Q9*Q5)*Q9*(1+Q10)</f>
        <v>1245689.032</v>
      </c>
      <c r="M19" s="36"/>
      <c r="P19" s="45" t="s">
        <v>52</v>
      </c>
      <c r="Q19" s="46" t="s">
        <v>53</v>
      </c>
      <c r="R19" s="25"/>
      <c r="S19" s="47"/>
    </row>
    <row r="20" ht="15.75" customHeight="1">
      <c r="A20" s="48" t="s">
        <v>42</v>
      </c>
      <c r="D20" s="42">
        <f>Q2*(1+Q4)*(1+Q3)*Q9*(1+Q10)</f>
        <v>451272.5272</v>
      </c>
      <c r="E20" s="49">
        <f>Q2*(1+Q4)*(1+Q3-D18+G18)*Q9*(1+Q10)</f>
        <v>441734.7624</v>
      </c>
      <c r="G20" s="36"/>
      <c r="J20" s="41" t="s">
        <v>54</v>
      </c>
      <c r="L20" s="42">
        <f>L19*(1+20%+Q8)</f>
        <v>5894600.502</v>
      </c>
      <c r="M20" s="36"/>
    </row>
    <row r="21" ht="15.75" customHeight="1">
      <c r="A21" s="48" t="s">
        <v>45</v>
      </c>
      <c r="D21" s="42">
        <f>L16*(1+20%+Q8)</f>
        <v>2135421.599</v>
      </c>
      <c r="E21" s="49">
        <f>L16*(1+20%+(Q8-D16+G16))</f>
        <v>2225676.104</v>
      </c>
      <c r="G21" s="36"/>
      <c r="J21" s="41" t="s">
        <v>55</v>
      </c>
      <c r="L21" s="50">
        <f>L19*(1-Q6)+L20*Q6</f>
        <v>5429709.355</v>
      </c>
      <c r="M21" s="36"/>
      <c r="P21" s="29" t="s">
        <v>56</v>
      </c>
      <c r="Q21" s="31"/>
      <c r="R21" s="31"/>
      <c r="S21" s="51" t="s">
        <v>57</v>
      </c>
    </row>
    <row r="22">
      <c r="A22" s="48" t="s">
        <v>48</v>
      </c>
      <c r="D22" s="42">
        <f>L16*(1-Q6)+L17*Q6</f>
        <v>1967006.692</v>
      </c>
      <c r="E22" s="49">
        <f>E20*(1-Q6)+E21*Q6</f>
        <v>2047281.97</v>
      </c>
      <c r="G22" s="36"/>
      <c r="J22" s="41" t="s">
        <v>58</v>
      </c>
      <c r="L22" s="50">
        <f>L19*(1-Q6)+IF(B10&gt;L20,L20,B10)*Q6</f>
        <v>4759568.003</v>
      </c>
      <c r="M22" s="36"/>
      <c r="P22" s="37" t="s">
        <v>59</v>
      </c>
      <c r="S22" s="34"/>
    </row>
    <row r="23">
      <c r="A23" s="48" t="s">
        <v>51</v>
      </c>
      <c r="D23" s="42">
        <f>Q2*(1+Q4)*(1+Q3+Q9*Q5)*Q9*(1+Q10)</f>
        <v>1245689.032</v>
      </c>
      <c r="E23" s="49">
        <f>Q2*(1+Q4)*(1+(Q3-D18+G18)+Q9*(Q5-D17+G17))*Q9*(1+Q10)</f>
        <v>1273201.396</v>
      </c>
      <c r="G23" s="36"/>
      <c r="J23" s="52" t="s">
        <v>60</v>
      </c>
      <c r="M23" s="36"/>
      <c r="P23" s="53" t="s">
        <v>61</v>
      </c>
      <c r="S23" s="34"/>
    </row>
    <row r="24">
      <c r="A24" s="48" t="s">
        <v>54</v>
      </c>
      <c r="D24" s="42">
        <f>L19*(1+20%+Q8)</f>
        <v>5894600.502</v>
      </c>
      <c r="E24" s="49">
        <f>L19*(1+20%+(Q8-D16+G16))</f>
        <v>6143738.308</v>
      </c>
      <c r="G24" s="36"/>
      <c r="J24" s="4" t="s">
        <v>62</v>
      </c>
      <c r="K24" s="54">
        <v>0.35</v>
      </c>
      <c r="L24" s="55"/>
      <c r="M24" s="36"/>
      <c r="P24" s="37" t="s">
        <v>63</v>
      </c>
      <c r="S24" s="34"/>
    </row>
    <row r="25">
      <c r="A25" s="48" t="s">
        <v>55</v>
      </c>
      <c r="D25" s="50">
        <f>L19*(1-Q6)+L20*Q6</f>
        <v>5429709.355</v>
      </c>
      <c r="E25" s="49">
        <f>E23*(1-Q6)+E24*Q6</f>
        <v>5656684.617</v>
      </c>
      <c r="G25" s="36"/>
      <c r="J25" s="41" t="s">
        <v>55</v>
      </c>
      <c r="L25" s="49">
        <f>IF(K24&gt;Q7,L19,IF((Q7-K24)&gt;90%,L21,(L19*(1-(Q7-K24))+L20*(Q7-K24))))</f>
        <v>4267481.488</v>
      </c>
      <c r="M25" s="36"/>
      <c r="P25" s="56" t="s">
        <v>64</v>
      </c>
      <c r="S25" s="36"/>
    </row>
    <row r="26">
      <c r="A26" s="57" t="s">
        <v>65</v>
      </c>
      <c r="D26" s="58">
        <f>IF(K24&gt;Q7,L19,IF((Q7-K24)&gt;90%,L21,(L19*(1-(Q7-K24))+L20*(Q7-K24))))</f>
        <v>4267481.488</v>
      </c>
      <c r="E26" s="59">
        <f>IF(K24&gt;Q7,E23,IF((Q7-K24)&gt;90%,E25,(E23*(1-(Q7-K24))+E24*(Q7-K24))))</f>
        <v>4439050.389</v>
      </c>
      <c r="G26" s="36"/>
      <c r="J26" s="60" t="s">
        <v>66</v>
      </c>
      <c r="K26" s="24"/>
      <c r="L26" s="61">
        <f>IF(K24&gt;Q7,L19,IF((Q7-K24)&gt;90%,L22,(L19*(1-(Q7-K24))+IF(B10&gt;L20,L20,B10)*(Q7-K24))))</f>
        <v>3783490.511</v>
      </c>
      <c r="M26" s="62"/>
      <c r="P26" s="63"/>
      <c r="S26" s="36"/>
    </row>
    <row r="27">
      <c r="A27" s="64" t="s">
        <v>67</v>
      </c>
      <c r="B27" s="24"/>
      <c r="C27" s="24"/>
      <c r="D27" s="65">
        <f>IF(K24&gt;Q7,L19,IF((Q7-K24)&gt;90%,L22,(L19*(1-(Q7-K24))+IF(B10&gt;L20,L20,B10)*(Q7-K24))))</f>
        <v>3783490.511</v>
      </c>
      <c r="E27" s="66">
        <f>IF(K24&gt;Q7,E23,IF((Q7-K24)&gt;90%,A32,(E23*(1-(Q7-K24))+IF(B10&gt;E24,E24,B10)*(Q7-K24))))</f>
        <v>3793119.839</v>
      </c>
      <c r="F27" s="24"/>
      <c r="G27" s="62"/>
      <c r="P27" s="67" t="s">
        <v>68</v>
      </c>
      <c r="S27" s="36"/>
    </row>
    <row r="28">
      <c r="P28" s="63"/>
      <c r="S28" s="36"/>
    </row>
    <row r="29">
      <c r="P29" s="68" t="s">
        <v>69</v>
      </c>
      <c r="Q29" s="25"/>
      <c r="R29" s="25"/>
      <c r="S29" s="47"/>
    </row>
    <row r="30">
      <c r="G30" s="69"/>
    </row>
    <row r="31">
      <c r="A31" s="70" t="s">
        <v>70</v>
      </c>
    </row>
    <row r="32">
      <c r="A32" s="71">
        <f>IF(B10&gt;E24,E24,B10)*Q6</f>
        <v>4634999.1</v>
      </c>
    </row>
  </sheetData>
  <mergeCells count="56">
    <mergeCell ref="E16:F16"/>
    <mergeCell ref="E17:F17"/>
    <mergeCell ref="B18:C18"/>
    <mergeCell ref="E18:F18"/>
    <mergeCell ref="A20:C20"/>
    <mergeCell ref="E20:G20"/>
    <mergeCell ref="E21:G21"/>
    <mergeCell ref="A27:C27"/>
    <mergeCell ref="E27:G27"/>
    <mergeCell ref="A21:C21"/>
    <mergeCell ref="A22:C22"/>
    <mergeCell ref="A23:C23"/>
    <mergeCell ref="A24:C24"/>
    <mergeCell ref="E24:G24"/>
    <mergeCell ref="A25:C25"/>
    <mergeCell ref="E25:G25"/>
    <mergeCell ref="A1:Q1"/>
    <mergeCell ref="J6:K6"/>
    <mergeCell ref="M7:N7"/>
    <mergeCell ref="D10:E11"/>
    <mergeCell ref="A11:B12"/>
    <mergeCell ref="P11:Q11"/>
    <mergeCell ref="G12:H12"/>
    <mergeCell ref="J16:K16"/>
    <mergeCell ref="L16:M16"/>
    <mergeCell ref="A14:G14"/>
    <mergeCell ref="J14:M14"/>
    <mergeCell ref="J15:K15"/>
    <mergeCell ref="L15:M15"/>
    <mergeCell ref="Q15:S15"/>
    <mergeCell ref="B16:C16"/>
    <mergeCell ref="B17:C17"/>
    <mergeCell ref="J20:K20"/>
    <mergeCell ref="J21:K21"/>
    <mergeCell ref="J22:K22"/>
    <mergeCell ref="J17:K17"/>
    <mergeCell ref="L17:M17"/>
    <mergeCell ref="J18:K18"/>
    <mergeCell ref="L18:M18"/>
    <mergeCell ref="J19:K19"/>
    <mergeCell ref="L19:M19"/>
    <mergeCell ref="L20:M20"/>
    <mergeCell ref="E22:G22"/>
    <mergeCell ref="E23:G23"/>
    <mergeCell ref="A26:C26"/>
    <mergeCell ref="E26:G26"/>
    <mergeCell ref="J26:K26"/>
    <mergeCell ref="L26:M26"/>
    <mergeCell ref="L21:M21"/>
    <mergeCell ref="L22:M22"/>
    <mergeCell ref="J23:M23"/>
    <mergeCell ref="L24:M24"/>
    <mergeCell ref="J25:K25"/>
    <mergeCell ref="L25:M25"/>
    <mergeCell ref="P25:S26"/>
    <mergeCell ref="P27:S28"/>
  </mergeCells>
  <dataValidations>
    <dataValidation type="list" allowBlank="1" showErrorMessage="1" sqref="E2:E8">
      <formula1>"0,1"</formula1>
    </dataValidation>
    <dataValidation type="list" allowBlank="1" showInputMessage="1" showErrorMessage="1" prompt="50%炸蝦    30%小雞" sqref="H2">
      <formula1>"50%,30%,0%"</formula1>
    </dataValidation>
    <dataValidation type="list" allowBlank="1" showInputMessage="1" showErrorMessage="1" prompt="50% 優格/葡萄汁 30% 蒟蒻/魷魚" sqref="H3">
      <formula1>"50%,30%,0%"</formula1>
    </dataValidation>
    <dataValidation type="list" allowBlank="1" showErrorMessage="1" sqref="H4:H11">
      <formula1>"1,0"</formula1>
    </dataValidation>
  </dataValidations>
  <hyperlinks>
    <hyperlink r:id="rId2" ref="Q15"/>
    <hyperlink r:id="rId3" location="gid=0" ref="Q16"/>
    <hyperlink r:id="rId4" ref="Q17"/>
    <hyperlink r:id="rId5" ref="Q18"/>
    <hyperlink r:id="rId6" ref="Q19"/>
  </hyperlinks>
  <drawing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8.88"/>
    <col customWidth="1" min="3" max="3" width="3.25"/>
    <col customWidth="1" min="4" max="4" width="24.75"/>
    <col customWidth="1" min="5" max="5" width="7.0"/>
    <col customWidth="1" min="6" max="6" width="3.25"/>
    <col customWidth="1" min="8" max="8" width="7.0"/>
    <col customWidth="1" min="9" max="9" width="3.25"/>
    <col customWidth="1" min="11" max="11" width="7.0"/>
    <col customWidth="1" min="12" max="12" width="3.25"/>
    <col customWidth="1" min="13" max="13" width="12.63"/>
    <col customWidth="1" min="14" max="14" width="7.0"/>
    <col customWidth="1" min="15" max="15" width="3.25"/>
    <col customWidth="1" min="17" max="17" width="8.88"/>
    <col customWidth="1" min="18" max="18" width="3.25"/>
    <col customWidth="1" min="19" max="19" width="18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4" t="s">
        <v>71</v>
      </c>
      <c r="B2" s="5">
        <v>18456.0</v>
      </c>
      <c r="D2" s="6" t="s">
        <v>2</v>
      </c>
      <c r="E2" s="5">
        <v>1.0</v>
      </c>
      <c r="G2" s="6" t="s">
        <v>3</v>
      </c>
      <c r="H2" s="7">
        <v>0.5</v>
      </c>
      <c r="J2" s="6" t="s">
        <v>72</v>
      </c>
      <c r="K2" s="7">
        <v>0.0</v>
      </c>
      <c r="M2" s="6" t="s">
        <v>73</v>
      </c>
      <c r="N2" s="7">
        <v>0.0</v>
      </c>
      <c r="P2" s="8" t="s">
        <v>71</v>
      </c>
      <c r="Q2" s="9">
        <f>B2</f>
        <v>18456</v>
      </c>
    </row>
    <row r="3">
      <c r="A3" s="4" t="s">
        <v>72</v>
      </c>
      <c r="B3" s="10">
        <v>1.005</v>
      </c>
      <c r="D3" s="6" t="s">
        <v>6</v>
      </c>
      <c r="E3" s="5">
        <v>1.0</v>
      </c>
      <c r="G3" s="6" t="s">
        <v>74</v>
      </c>
      <c r="H3" s="7">
        <v>0.5</v>
      </c>
      <c r="J3" s="6" t="s">
        <v>8</v>
      </c>
      <c r="K3" s="7">
        <v>0.2</v>
      </c>
      <c r="M3" s="6" t="s">
        <v>9</v>
      </c>
      <c r="N3" s="7">
        <v>0.0</v>
      </c>
      <c r="P3" s="11" t="s">
        <v>72</v>
      </c>
      <c r="Q3" s="12">
        <f>B3+H3+35%*E2+14.7%*E7+21.6%*E6+10%*H11+K2</f>
        <v>2.318</v>
      </c>
    </row>
    <row r="4">
      <c r="A4" s="4" t="s">
        <v>73</v>
      </c>
      <c r="B4" s="10">
        <v>0.372</v>
      </c>
      <c r="D4" s="6" t="s">
        <v>13</v>
      </c>
      <c r="E4" s="5">
        <v>1.0</v>
      </c>
      <c r="G4" s="6" t="s">
        <v>75</v>
      </c>
      <c r="H4" s="5">
        <v>1.0</v>
      </c>
      <c r="J4" s="6" t="s">
        <v>12</v>
      </c>
      <c r="K4" s="7">
        <v>0.2</v>
      </c>
      <c r="M4" s="6" t="s">
        <v>8</v>
      </c>
      <c r="N4" s="7">
        <v>0.0</v>
      </c>
      <c r="P4" s="11" t="s">
        <v>73</v>
      </c>
      <c r="Q4" s="12">
        <f>B4+30%*H4+20%*H9+15%*E4+15%*E8+10%*E5+N2</f>
        <v>1.272</v>
      </c>
    </row>
    <row r="5">
      <c r="A5" s="4" t="s">
        <v>8</v>
      </c>
      <c r="B5" s="10">
        <v>0.927</v>
      </c>
      <c r="D5" s="6" t="s">
        <v>76</v>
      </c>
      <c r="E5" s="5">
        <v>1.0</v>
      </c>
      <c r="G5" s="6" t="s">
        <v>14</v>
      </c>
      <c r="H5" s="5">
        <v>1.0</v>
      </c>
      <c r="J5" s="6" t="s">
        <v>15</v>
      </c>
      <c r="K5" s="7">
        <v>0.2</v>
      </c>
      <c r="M5" s="6" t="s">
        <v>12</v>
      </c>
      <c r="N5" s="7">
        <v>0.0</v>
      </c>
      <c r="P5" s="11" t="s">
        <v>8</v>
      </c>
      <c r="Q5" s="12">
        <f>B5+H2+20%*H8+50%*H10+15%*E2+9.6%*E3+K3+N4</f>
        <v>2.573</v>
      </c>
    </row>
    <row r="6">
      <c r="A6" s="4" t="s">
        <v>9</v>
      </c>
      <c r="B6" s="10">
        <v>0.45</v>
      </c>
      <c r="D6" s="6" t="s">
        <v>77</v>
      </c>
      <c r="E6" s="5">
        <v>1.0</v>
      </c>
      <c r="G6" s="6" t="s">
        <v>17</v>
      </c>
      <c r="H6" s="5">
        <v>1.0</v>
      </c>
      <c r="J6" s="13" t="s">
        <v>18</v>
      </c>
      <c r="M6" s="6" t="s">
        <v>15</v>
      </c>
      <c r="N6" s="7">
        <v>0.15</v>
      </c>
      <c r="P6" s="11" t="s">
        <v>9</v>
      </c>
      <c r="Q6" s="12">
        <f>IF(B6+30%*H6+20%*H7+10%*H11+N3&lt;=90%,B6+30%*H6+20%*H7+10%*H11+N3,90%)</f>
        <v>0.9</v>
      </c>
    </row>
    <row r="7">
      <c r="A7" s="4" t="s">
        <v>12</v>
      </c>
      <c r="B7" s="10">
        <v>2.832</v>
      </c>
      <c r="D7" s="6" t="s">
        <v>16</v>
      </c>
      <c r="E7" s="5">
        <v>1.0</v>
      </c>
      <c r="G7" s="6" t="s">
        <v>20</v>
      </c>
      <c r="H7" s="5">
        <v>1.0</v>
      </c>
      <c r="J7" s="13"/>
      <c r="K7" s="13"/>
      <c r="M7" s="13" t="s">
        <v>21</v>
      </c>
      <c r="P7" s="15" t="s">
        <v>22</v>
      </c>
      <c r="Q7" s="16">
        <f>IF(B6+30%*H6+20%*H7+10%*H11+N3&lt;=100%,B6+30%*H6+20%*H7+10%*H11+N3,100%)</f>
        <v>1</v>
      </c>
    </row>
    <row r="8">
      <c r="A8" s="4" t="s">
        <v>23</v>
      </c>
      <c r="B8" s="10">
        <v>2.266</v>
      </c>
      <c r="D8" s="14" t="s">
        <v>19</v>
      </c>
      <c r="E8" s="5">
        <v>1.0</v>
      </c>
      <c r="G8" s="6" t="s">
        <v>25</v>
      </c>
      <c r="H8" s="5">
        <v>1.0</v>
      </c>
      <c r="P8" s="11" t="s">
        <v>12</v>
      </c>
      <c r="Q8" s="12">
        <f>B7+30%*H5+30%*E9+20%*H11+K4+N5</f>
        <v>3.532</v>
      </c>
    </row>
    <row r="9">
      <c r="A9" s="4" t="s">
        <v>15</v>
      </c>
      <c r="B9" s="10">
        <v>0.15</v>
      </c>
      <c r="D9" s="6" t="s">
        <v>24</v>
      </c>
      <c r="E9" s="5">
        <v>0.0</v>
      </c>
      <c r="G9" s="6" t="s">
        <v>78</v>
      </c>
      <c r="H9" s="5">
        <v>1.0</v>
      </c>
      <c r="P9" s="11" t="s">
        <v>23</v>
      </c>
      <c r="Q9" s="12">
        <f>B8</f>
        <v>2.266</v>
      </c>
    </row>
    <row r="10">
      <c r="A10" s="17" t="s">
        <v>27</v>
      </c>
      <c r="B10" s="18">
        <v>5149999.0</v>
      </c>
      <c r="D10" s="19" t="s">
        <v>28</v>
      </c>
      <c r="G10" s="6" t="s">
        <v>29</v>
      </c>
      <c r="H10" s="5">
        <v>1.0</v>
      </c>
      <c r="P10" s="11" t="s">
        <v>15</v>
      </c>
      <c r="Q10" s="12">
        <f>B9+K5+N6</f>
        <v>0.5</v>
      </c>
    </row>
    <row r="11">
      <c r="A11" s="20" t="s">
        <v>79</v>
      </c>
      <c r="G11" s="6" t="s">
        <v>31</v>
      </c>
      <c r="H11" s="5">
        <v>1.0</v>
      </c>
      <c r="P11" s="21" t="s">
        <v>32</v>
      </c>
      <c r="Q11" s="22"/>
    </row>
    <row r="12">
      <c r="A12" s="23"/>
      <c r="B12" s="24"/>
      <c r="C12" s="25"/>
      <c r="D12" s="25"/>
      <c r="E12" s="25"/>
      <c r="F12" s="25"/>
      <c r="G12" s="26" t="s">
        <v>33</v>
      </c>
      <c r="H12" s="24"/>
      <c r="I12" s="25"/>
      <c r="J12" s="25"/>
      <c r="K12" s="25"/>
      <c r="L12" s="25"/>
      <c r="M12" s="25"/>
      <c r="N12" s="25"/>
      <c r="O12" s="25"/>
      <c r="P12" s="27"/>
      <c r="Q12" s="28"/>
    </row>
    <row r="14">
      <c r="A14" s="1" t="s">
        <v>34</v>
      </c>
      <c r="B14" s="2"/>
      <c r="C14" s="2"/>
      <c r="D14" s="2"/>
      <c r="E14" s="2"/>
      <c r="F14" s="2"/>
      <c r="G14" s="3"/>
      <c r="J14" s="1" t="s">
        <v>35</v>
      </c>
      <c r="K14" s="2"/>
      <c r="L14" s="2"/>
      <c r="M14" s="3"/>
      <c r="N14" s="5"/>
      <c r="O14" s="5"/>
      <c r="P14" s="29" t="s">
        <v>36</v>
      </c>
      <c r="Q14" s="30"/>
      <c r="R14" s="31"/>
      <c r="S14" s="32"/>
    </row>
    <row r="15">
      <c r="A15" s="33"/>
      <c r="B15" s="14" t="s">
        <v>37</v>
      </c>
      <c r="D15" s="13"/>
      <c r="E15" s="6" t="s">
        <v>38</v>
      </c>
      <c r="G15" s="34"/>
      <c r="J15" s="35"/>
      <c r="L15" s="6" t="s">
        <v>39</v>
      </c>
      <c r="M15" s="36"/>
      <c r="N15" s="5"/>
      <c r="O15" s="5"/>
      <c r="P15" s="37" t="s">
        <v>40</v>
      </c>
      <c r="Q15" s="38" t="s">
        <v>41</v>
      </c>
      <c r="S15" s="36"/>
    </row>
    <row r="16" ht="15.75" customHeight="1">
      <c r="A16" s="33"/>
      <c r="B16" s="6" t="s">
        <v>12</v>
      </c>
      <c r="D16" s="39">
        <v>0.6</v>
      </c>
      <c r="E16" s="6" t="s">
        <v>12</v>
      </c>
      <c r="G16" s="40">
        <v>0.8</v>
      </c>
      <c r="J16" s="41" t="s">
        <v>42</v>
      </c>
      <c r="L16" s="42">
        <f>Q2*(1+Q4)*(1+Q3)*Q9*(1+Q10)</f>
        <v>472904.5089</v>
      </c>
      <c r="M16" s="36"/>
      <c r="P16" s="37" t="s">
        <v>43</v>
      </c>
      <c r="Q16" s="43" t="s">
        <v>44</v>
      </c>
      <c r="S16" s="34"/>
    </row>
    <row r="17" ht="15.75" customHeight="1">
      <c r="A17" s="33"/>
      <c r="B17" s="6" t="s">
        <v>8</v>
      </c>
      <c r="D17" s="39">
        <v>0.28</v>
      </c>
      <c r="E17" s="6" t="s">
        <v>8</v>
      </c>
      <c r="G17" s="40">
        <v>0.4</v>
      </c>
      <c r="J17" s="41" t="s">
        <v>45</v>
      </c>
      <c r="L17" s="42">
        <f>L16*(1+20%+Q8)</f>
        <v>2237784.136</v>
      </c>
      <c r="M17" s="36"/>
      <c r="P17" s="37" t="s">
        <v>46</v>
      </c>
      <c r="Q17" s="43" t="s">
        <v>47</v>
      </c>
      <c r="S17" s="34"/>
    </row>
    <row r="18" ht="15.75" customHeight="1">
      <c r="A18" s="33"/>
      <c r="B18" s="6" t="s">
        <v>72</v>
      </c>
      <c r="D18" s="39">
        <v>0.07</v>
      </c>
      <c r="E18" s="6" t="s">
        <v>72</v>
      </c>
      <c r="G18" s="40">
        <v>0.0</v>
      </c>
      <c r="J18" s="41" t="s">
        <v>48</v>
      </c>
      <c r="L18" s="42">
        <f>L16*(1-Q6)+L17*Q6</f>
        <v>2061296.173</v>
      </c>
      <c r="M18" s="36"/>
      <c r="N18" s="44"/>
      <c r="O18" s="44"/>
      <c r="P18" s="37" t="s">
        <v>49</v>
      </c>
      <c r="Q18" s="43" t="s">
        <v>50</v>
      </c>
      <c r="S18" s="34"/>
    </row>
    <row r="19" ht="15.75" customHeight="1">
      <c r="A19" s="33"/>
      <c r="G19" s="34"/>
      <c r="J19" s="41" t="s">
        <v>51</v>
      </c>
      <c r="L19" s="42">
        <f>Q2*(1+Q4)*(1+Q3+Q9*Q5)*Q9*(1+Q10)</f>
        <v>1303896.36</v>
      </c>
      <c r="M19" s="36"/>
      <c r="P19" s="45" t="s">
        <v>52</v>
      </c>
      <c r="Q19" s="46" t="s">
        <v>80</v>
      </c>
      <c r="R19" s="25"/>
      <c r="S19" s="47"/>
    </row>
    <row r="20" ht="15.75" customHeight="1">
      <c r="A20" s="48" t="s">
        <v>42</v>
      </c>
      <c r="D20" s="42">
        <f>Q2*(1+Q4)*(1+Q3)*Q9*(1+Q10)</f>
        <v>472904.5089</v>
      </c>
      <c r="E20" s="49">
        <f>Q2*(1+Q4)*(1+Q3-D18+G18)*Q9*(1+Q10)</f>
        <v>462927.6205</v>
      </c>
      <c r="G20" s="36"/>
      <c r="J20" s="41" t="s">
        <v>54</v>
      </c>
      <c r="L20" s="42">
        <f>L19*(1+20%+Q8)</f>
        <v>6170037.574</v>
      </c>
      <c r="M20" s="36"/>
    </row>
    <row r="21" ht="15.75" customHeight="1">
      <c r="A21" s="48" t="s">
        <v>45</v>
      </c>
      <c r="D21" s="42">
        <f>L16*(1+20%+Q8)</f>
        <v>2237784.136</v>
      </c>
      <c r="E21" s="49">
        <f>L16*(1+20%+(Q8-D16+G16))</f>
        <v>2332365.038</v>
      </c>
      <c r="G21" s="36"/>
      <c r="J21" s="41" t="s">
        <v>55</v>
      </c>
      <c r="L21" s="50">
        <f>L19*(1-Q6)+L20*Q6</f>
        <v>5683423.453</v>
      </c>
      <c r="M21" s="36"/>
      <c r="P21" s="29" t="s">
        <v>56</v>
      </c>
      <c r="Q21" s="31"/>
      <c r="R21" s="31"/>
      <c r="S21" s="51" t="s">
        <v>57</v>
      </c>
    </row>
    <row r="22">
      <c r="A22" s="48" t="s">
        <v>48</v>
      </c>
      <c r="D22" s="42">
        <f>L16*(1-Q6)+L17*Q6</f>
        <v>2061296.173</v>
      </c>
      <c r="E22" s="49">
        <f>E20*(1-Q6)+E21*Q6</f>
        <v>2145421.296</v>
      </c>
      <c r="G22" s="36"/>
      <c r="J22" s="41" t="s">
        <v>58</v>
      </c>
      <c r="L22" s="50">
        <f>L19*(1-Q6)+IF(B10&gt;L20,L20,B10)*Q6</f>
        <v>4765388.736</v>
      </c>
      <c r="M22" s="36"/>
      <c r="P22" s="37" t="s">
        <v>59</v>
      </c>
      <c r="S22" s="34"/>
    </row>
    <row r="23">
      <c r="A23" s="48" t="s">
        <v>51</v>
      </c>
      <c r="D23" s="42">
        <f>Q2*(1+Q4)*(1+Q3+Q9*Q5)*Q9*(1+Q10)</f>
        <v>1303896.36</v>
      </c>
      <c r="E23" s="49">
        <f>Q2*(1+Q4)*(1+(Q3-D18+G18)+Q9*(Q5-D17+G17))*Q9*(1+Q10)</f>
        <v>1332675.407</v>
      </c>
      <c r="G23" s="36"/>
      <c r="J23" s="52" t="s">
        <v>60</v>
      </c>
      <c r="M23" s="36"/>
      <c r="P23" s="53" t="s">
        <v>61</v>
      </c>
      <c r="S23" s="34"/>
    </row>
    <row r="24">
      <c r="A24" s="48" t="s">
        <v>54</v>
      </c>
      <c r="D24" s="42">
        <f>L19*(1+20%+Q8)</f>
        <v>6170037.574</v>
      </c>
      <c r="E24" s="49">
        <f>L19*(1+20%+(Q8-D16+G16))</f>
        <v>6430816.846</v>
      </c>
      <c r="G24" s="36"/>
      <c r="J24" s="4" t="s">
        <v>62</v>
      </c>
      <c r="K24" s="54">
        <v>0.35</v>
      </c>
      <c r="L24" s="55"/>
      <c r="M24" s="36"/>
      <c r="P24" s="37" t="s">
        <v>63</v>
      </c>
      <c r="S24" s="34"/>
    </row>
    <row r="25">
      <c r="A25" s="48" t="s">
        <v>55</v>
      </c>
      <c r="D25" s="50">
        <f>L19*(1-Q6)+L20*Q6</f>
        <v>5683423.453</v>
      </c>
      <c r="E25" s="49">
        <f>E23*(1-Q6)+E24*Q6</f>
        <v>5921002.702</v>
      </c>
      <c r="G25" s="36"/>
      <c r="J25" s="41" t="s">
        <v>55</v>
      </c>
      <c r="L25" s="49">
        <f>IF(K24&gt;Q7,L19,IF((Q7-K24)&gt;90%,L21,(L19*(1-(Q7-K24))+L20*(Q7-K24))))</f>
        <v>4466888.149</v>
      </c>
      <c r="M25" s="36"/>
      <c r="P25" s="56" t="s">
        <v>64</v>
      </c>
      <c r="S25" s="36"/>
    </row>
    <row r="26">
      <c r="A26" s="57" t="s">
        <v>65</v>
      </c>
      <c r="D26" s="58">
        <f>IF(K24&gt;Q7,L19,IF((Q7-K24)&gt;90%,L21,(L19*(1-(Q7-K24))+L20*(Q7-K24))))</f>
        <v>4466888.149</v>
      </c>
      <c r="E26" s="59">
        <f>IF(K24&gt;Q7,E23,IF((Q7-K24)&gt;90%,E25,(E23*(1-(Q7-K24))+E24*(Q7-K24))))</f>
        <v>4646467.343</v>
      </c>
      <c r="G26" s="36"/>
      <c r="J26" s="60" t="s">
        <v>81</v>
      </c>
      <c r="K26" s="24"/>
      <c r="L26" s="61">
        <f>IF(K24&gt;Q7,L19,IF((Q7-K24)&gt;90%,L22,(L19*(1-(Q7-K24))+IF(B10&gt;L20,L20,B10)*(Q7-K24))))</f>
        <v>3803863.076</v>
      </c>
      <c r="M26" s="62"/>
      <c r="P26" s="63"/>
      <c r="S26" s="36"/>
    </row>
    <row r="27">
      <c r="A27" s="64" t="s">
        <v>82</v>
      </c>
      <c r="B27" s="24"/>
      <c r="C27" s="24"/>
      <c r="D27" s="65">
        <f>IF(K24&gt;Q7,L19,IF((Q7-K24)&gt;90%,L22,(L19*(1-(Q7-K24))+IF(B10&gt;L20,L20,B10)*(Q7-K24))))</f>
        <v>3803863.076</v>
      </c>
      <c r="E27" s="66">
        <f>IF(K24&gt;Q7,E23,IF((Q7-K24)&gt;90%,A32,(E23*(1-(Q7-K24))+IF(B10&gt;E24,E24,B10)*(Q7-K24))))</f>
        <v>3813935.742</v>
      </c>
      <c r="F27" s="24"/>
      <c r="G27" s="62"/>
      <c r="P27" s="67" t="s">
        <v>68</v>
      </c>
      <c r="S27" s="36"/>
    </row>
    <row r="28">
      <c r="P28" s="63"/>
      <c r="S28" s="36"/>
    </row>
    <row r="29">
      <c r="P29" s="68" t="s">
        <v>69</v>
      </c>
      <c r="Q29" s="25"/>
      <c r="R29" s="25"/>
      <c r="S29" s="47"/>
    </row>
    <row r="31">
      <c r="A31" s="70" t="s">
        <v>70</v>
      </c>
    </row>
    <row r="32">
      <c r="A32" s="71">
        <f>IF(B10&gt;E24,E24,B10)*Q6</f>
        <v>4634999.1</v>
      </c>
    </row>
  </sheetData>
  <mergeCells count="56">
    <mergeCell ref="E16:F16"/>
    <mergeCell ref="E17:F17"/>
    <mergeCell ref="B18:C18"/>
    <mergeCell ref="E18:F18"/>
    <mergeCell ref="A20:C20"/>
    <mergeCell ref="E20:G20"/>
    <mergeCell ref="E21:G21"/>
    <mergeCell ref="A27:C27"/>
    <mergeCell ref="E27:G27"/>
    <mergeCell ref="A21:C21"/>
    <mergeCell ref="A22:C22"/>
    <mergeCell ref="A23:C23"/>
    <mergeCell ref="A24:C24"/>
    <mergeCell ref="E24:G24"/>
    <mergeCell ref="A25:C25"/>
    <mergeCell ref="E25:G25"/>
    <mergeCell ref="A1:Q1"/>
    <mergeCell ref="J6:K6"/>
    <mergeCell ref="M7:N7"/>
    <mergeCell ref="D10:E11"/>
    <mergeCell ref="A11:B12"/>
    <mergeCell ref="P11:Q11"/>
    <mergeCell ref="G12:H12"/>
    <mergeCell ref="J16:K16"/>
    <mergeCell ref="L16:M16"/>
    <mergeCell ref="A14:G14"/>
    <mergeCell ref="J14:M14"/>
    <mergeCell ref="J15:K15"/>
    <mergeCell ref="L15:M15"/>
    <mergeCell ref="Q15:S15"/>
    <mergeCell ref="B16:C16"/>
    <mergeCell ref="B17:C17"/>
    <mergeCell ref="J20:K20"/>
    <mergeCell ref="J21:K21"/>
    <mergeCell ref="J22:K22"/>
    <mergeCell ref="J17:K17"/>
    <mergeCell ref="L17:M17"/>
    <mergeCell ref="J18:K18"/>
    <mergeCell ref="L18:M18"/>
    <mergeCell ref="J19:K19"/>
    <mergeCell ref="L19:M19"/>
    <mergeCell ref="L20:M20"/>
    <mergeCell ref="E22:G22"/>
    <mergeCell ref="E23:G23"/>
    <mergeCell ref="A26:C26"/>
    <mergeCell ref="E26:G26"/>
    <mergeCell ref="J26:K26"/>
    <mergeCell ref="L26:M26"/>
    <mergeCell ref="L21:M21"/>
    <mergeCell ref="L22:M22"/>
    <mergeCell ref="J23:M23"/>
    <mergeCell ref="L24:M24"/>
    <mergeCell ref="J25:K25"/>
    <mergeCell ref="L25:M25"/>
    <mergeCell ref="P25:S26"/>
    <mergeCell ref="P27:S28"/>
  </mergeCells>
  <dataValidations>
    <dataValidation type="list" allowBlank="1" showErrorMessage="1" sqref="E2:E9">
      <formula1>"0,1"</formula1>
    </dataValidation>
    <dataValidation type="list" allowBlank="1" showInputMessage="1" showErrorMessage="1" prompt="50%炸蝦    30%小雞" sqref="H2">
      <formula1>"50%,30%,0%"</formula1>
    </dataValidation>
    <dataValidation type="list" allowBlank="1" showInputMessage="1" showErrorMessage="1" prompt="50% 優格/葡萄汁 30% 蒟蒻/魷魚" sqref="H3">
      <formula1>"50%,30%,0%"</formula1>
    </dataValidation>
    <dataValidation type="list" allowBlank="1" showErrorMessage="1" sqref="H4:H11">
      <formula1>"1,0"</formula1>
    </dataValidation>
  </dataValidations>
  <hyperlinks>
    <hyperlink r:id="rId2" ref="Q15"/>
    <hyperlink r:id="rId3" location="gid=0" ref="Q16"/>
    <hyperlink r:id="rId4" ref="Q17"/>
    <hyperlink r:id="rId5" ref="Q18"/>
    <hyperlink r:id="rId6" ref="Q19"/>
  </hyperlinks>
  <drawing r:id="rId7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0.88"/>
  </cols>
  <sheetData>
    <row r="1">
      <c r="A1" s="6" t="s">
        <v>83</v>
      </c>
      <c r="B1" s="6" t="s">
        <v>84</v>
      </c>
    </row>
    <row r="2">
      <c r="A2" s="5" t="s">
        <v>85</v>
      </c>
      <c r="B2" s="5" t="s">
        <v>86</v>
      </c>
    </row>
    <row r="3">
      <c r="A3" s="5" t="s">
        <v>85</v>
      </c>
      <c r="B3" s="5" t="s">
        <v>87</v>
      </c>
    </row>
    <row r="4">
      <c r="A4" s="5" t="s">
        <v>88</v>
      </c>
      <c r="B4" s="5" t="s">
        <v>89</v>
      </c>
    </row>
    <row r="5">
      <c r="A5" s="5" t="s">
        <v>90</v>
      </c>
      <c r="B5" s="5" t="s">
        <v>91</v>
      </c>
    </row>
    <row r="6">
      <c r="A6" s="5" t="s">
        <v>92</v>
      </c>
      <c r="B6" s="5" t="s">
        <v>93</v>
      </c>
    </row>
  </sheetData>
  <drawing r:id="rId1"/>
</worksheet>
</file>